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7013e405c4b02" /><Relationship Type="http://schemas.openxmlformats.org/package/2006/relationships/metadata/core-properties" Target="/docProps/core.xml" Id="Rde0fec809c124386" /><Relationship Type="http://schemas.openxmlformats.org/officeDocument/2006/relationships/extended-properties" Target="/docProps/app.xml" Id="R8ea8b23019f247e4" /><Relationship Type="http://schemas.openxmlformats.org/officeDocument/2006/relationships/custom-properties" Target="/docProps/custom.xml" Id="R88b6401bcb2a4d4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shboard" sheetId="1" r:id="rId1"/>
    <x:sheet name="Regional Data" sheetId="2" r:id="R98e7cd2530f9484f"/>
    <x:sheet name="Forecast" sheetId="3" r:id="R37fffef236294404"/>
  </x:sheets>
  <x:definedNames>
    <x:definedName name="_xlnm.Print_Titles" localSheetId="1">'Regional Data'!$1:$1</x:definedName>
  </x:definedNames>
  <x:calcPr calcMode="auto" fullCalcOnLoad="1"/>
</x:workbook>
</file>

<file path=xl/styles.xml><?xml version="1.0" encoding="utf-8"?>
<x:styleSheet xmlns:x="http://schemas.openxmlformats.org/spreadsheetml/2006/main">
  <x:numFmts count="5">
    <x:numFmt numFmtId="164" formatCode="$0.0"/>
    <x:numFmt numFmtId="165" formatCode="0.0%"/>
    <x:numFmt numFmtId="166" formatCode="0.000"/>
    <x:numFmt numFmtId="167" formatCode="0.0000"/>
    <x:numFmt numFmtId="168" formatCode="$0.00"/>
  </x:numFmts>
  <x:fonts count="15">
    <x:font>
      <x:sz val="11"/>
      <x:name val="Calibri"/>
    </x:font>
    <x:font>
      <x:b/>
      <x:sz val="22"/>
      <x:color rgb="FFFFFFFF"/>
      <x:name val="Aptos Display"/>
    </x:font>
    <x:font>
      <x:b/>
      <x:sz val="10"/>
      <x:color rgb="FF116D5C"/>
      <x:name val="Aptos"/>
    </x:font>
    <x:font>
      <x:b/>
      <x:sz val="11"/>
      <x:color rgb="FF0B1930"/>
      <x:name val="Calibri"/>
    </x:font>
    <x:font>
      <x:b/>
      <x:sz val="11"/>
      <x:name val="Calibri"/>
    </x:font>
    <x:font>
      <x:b/>
      <x:sz val="14"/>
      <x:name val="Calibri"/>
    </x:font>
    <x:font>
      <x:b/>
      <x:sz val="18"/>
      <x:color rgb="FF116D5C"/>
      <x:name val="Calibri"/>
    </x:font>
    <x:font>
      <x:b/>
      <x:sz val="18"/>
      <x:name val="Calibri"/>
    </x:font>
    <x:font>
      <x:b/>
      <x:sz val="18"/>
      <x:color rgb="FF245BCA"/>
      <x:name val="Calibri"/>
    </x:font>
    <x:font>
      <x:b/>
      <x:sz val="11"/>
      <x:color rgb="FFFFFFFF"/>
      <x:name val="Calibri"/>
    </x:font>
    <x:font>
      <x:sz val="10"/>
      <x:name val="Aptos"/>
    </x:font>
    <x:font>
      <x:b/>
      <x:sz val="10"/>
      <x:name val="Aptos"/>
    </x:font>
    <x:font>
      <x:sz val="10"/>
      <x:color rgb="FF245BCA"/>
      <x:name val="Aptos"/>
    </x:font>
    <x:font>
      <x:b/>
      <x:sz val="10"/>
      <x:color rgb="FFFFFFFF"/>
      <x:name val="Aptos"/>
    </x:font>
    <x:font>
      <x:b/>
      <x:sz val="20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0B1930"/>
      </x:patternFill>
    </x:fill>
    <x:fill>
      <x:patternFill patternType="solid">
        <x:fgColor rgb="FFEAFBF7"/>
      </x:patternFill>
    </x:fill>
    <x:fill>
      <x:patternFill patternType="solid">
        <x:fgColor rgb="FFDDE7F2"/>
      </x:patternFill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>
      <x:left style="thin">
        <x:color rgb="FFD0D9E5"/>
      </x:left>
      <x:right style="thin">
        <x:color rgb="FFD0D9E5"/>
      </x:right>
      <x:top style="thin">
        <x:color rgb="FFD0D9E5"/>
      </x:top>
      <x:bottom style="thin">
        <x:color rgb="FFD0D9E5"/>
      </x:bottom>
      <x:diagonal/>
    </x:border>
    <x:border>
      <x:left style="thin">
        <x:color rgb="FFE0E7EF"/>
      </x:left>
      <x:right style="thin">
        <x:color rgb="FFE0E7EF"/>
      </x:right>
      <x:top style="thin">
        <x:color rgb="FFE0E7EF"/>
      </x:top>
      <x:bottom style="thin">
        <x:color rgb="FFE0E7EF"/>
      </x:bottom>
      <x:diagonal/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  <x:diagonal/>
    </x:border>
  </x:borders>
  <x:cellStyleXfs count="1">
    <x:xf numFmtId="0" fontId="0" fillId="0" borderId="0"/>
  </x:cellStyleXfs>
  <x:cellXfs count="27">
    <x:xf numFmtId="0" fontId="0" fillId="0" borderId="0"/>
    <x:xf numFmtId="0" fontId="1" fillId="2" borderId="0" applyFont="1" applyFill="1" applyBorder="1" applyAlignment="1">
      <x:alignment vertical="center" wrapText="1"/>
    </x:xf>
    <x:xf numFmtId="0" fontId="1" fillId="2" borderId="0" applyFont="1" applyFill="1" applyBorder="1" applyAlignment="1">
      <x:alignment horizontal="left" vertical="center" wrapText="1"/>
    </x:xf>
    <x:xf numFmtId="0" fontId="2" fillId="3" borderId="0" applyFont="1" applyFill="1" applyAlignment="1">
      <x:alignment vertical="center"/>
    </x:xf>
    <x:xf numFmtId="0" fontId="3" fillId="4" borderId="1" applyFont="1" applyFill="1" applyBorder="1" applyAlignment="1">
      <x:alignment horizontal="center"/>
    </x:xf>
    <x:xf numFmtId="0" fontId="4" fillId="5" borderId="2" applyFont="1" applyFill="1" applyBorder="1" applyAlignment="1">
      <x:alignment horizontal="center"/>
    </x:xf>
    <x:xf numFmtId="0" fontId="5" fillId="5" borderId="2" applyFont="1" applyFill="1" applyBorder="1" applyAlignment="1">
      <x:alignment horizontal="center"/>
    </x:xf>
    <x:xf numFmtId="164" fontId="6" fillId="5" borderId="2" applyNumberFormat="1" applyFont="1" applyFill="1" applyBorder="1" applyAlignment="1">
      <x:alignment horizontal="center"/>
    </x:xf>
    <x:xf numFmtId="164" fontId="7" fillId="5" borderId="2" applyNumberFormat="1" applyFont="1" applyFill="1" applyBorder="1" applyAlignment="1">
      <x:alignment horizontal="center"/>
    </x:xf>
    <x:xf numFmtId="165" fontId="8" fillId="5" borderId="2" applyNumberFormat="1" applyFont="1" applyFill="1" applyBorder="1" applyAlignment="1">
      <x:alignment horizontal="center"/>
    </x:xf>
    <x:xf numFmtId="0" fontId="9" fillId="2" borderId="0" applyFont="1" applyFill="1" applyAlignment="1">
      <x:alignment horizontal="left"/>
    </x:xf>
    <x:xf numFmtId="0" fontId="10" fillId="5" borderId="2" applyFont="1" applyFill="1" applyBorder="1"/>
    <x:xf numFmtId="0" fontId="11" fillId="4" borderId="2" applyFont="1" applyFill="1" applyBorder="1" applyAlignment="1">
      <x:alignment horizontal="center"/>
    </x:xf>
    <x:xf numFmtId="164" fontId="10" fillId="5" borderId="2" applyNumberFormat="1" applyFont="1" applyFill="1" applyBorder="1"/>
    <x:xf numFmtId="165" fontId="12" fillId="5" borderId="2" applyNumberFormat="1" applyFont="1" applyFill="1" applyBorder="1"/>
    <x:xf numFmtId="0" fontId="10" fillId="0" borderId="3" applyFont="1" applyBorder="1"/>
    <x:xf numFmtId="0" fontId="13" fillId="2" borderId="3" applyFont="1" applyFill="1" applyBorder="1" applyAlignment="1">
      <x:alignment horizontal="center" wrapText="1"/>
    </x:xf>
    <x:xf numFmtId="0" fontId="10" fillId="5" borderId="3" applyFont="1" applyFill="1" applyBorder="1"/>
    <x:xf numFmtId="166" fontId="10" fillId="5" borderId="3" applyNumberFormat="1" applyFont="1" applyFill="1" applyBorder="1"/>
    <x:xf numFmtId="167" fontId="10" fillId="5" borderId="3" applyNumberFormat="1" applyFont="1" applyFill="1" applyBorder="1"/>
    <x:xf numFmtId="168" fontId="10" fillId="5" borderId="3" applyNumberFormat="1" applyFont="1" applyFill="1" applyBorder="1"/>
    <x:xf numFmtId="165" fontId="10" fillId="5" borderId="3" applyNumberFormat="1" applyFont="1" applyFill="1" applyBorder="1"/>
    <x:xf numFmtId="0" fontId="14" fillId="2" borderId="0" applyFont="1" applyFill="1" applyAlignment="1">
      <x:alignment vertical="center"/>
    </x:xf>
    <x:xf numFmtId="0" fontId="11" fillId="4" borderId="3" applyFont="1" applyFill="1" applyBorder="1" applyAlignment="1">
      <x:alignment horizontal="center"/>
    </x:xf>
    <x:xf numFmtId="164" fontId="10" fillId="0" borderId="3" applyNumberFormat="1" applyFont="1" applyBorder="1"/>
    <x:xf numFmtId="164" fontId="11" fillId="0" borderId="3" applyNumberFormat="1" applyFont="1" applyBorder="1"/>
    <x:xf numFmtId="165" fontId="12" fillId="0" borderId="3" applyNumberFormat="1" applyFont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ea89f9c1620497b" /><Relationship Type="http://schemas.openxmlformats.org/officeDocument/2006/relationships/worksheet" Target="/xl/worksheets/sheet2.xml" Id="R98e7cd2530f9484f" /><Relationship Type="http://schemas.openxmlformats.org/officeDocument/2006/relationships/worksheet" Target="/xl/worksheets/sheet3.xml" Id="R37fffef236294404" /><Relationship Type="http://schemas.openxmlformats.org/officeDocument/2006/relationships/styles" Target="/xl/styles.xml" Id="R7a05f7a594cb41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c764851f5b473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e1254c5df5a452e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0B1930"/>
                </a:solidFill>
              </a:rPr>
              <a:t>Actual vs Plan by Region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2E75B6"/>
            </a:solidFill>
          </c:spPr>
          <c:invertIfNegative val="0"/>
          <c:cat>
            <c:strRef>
              <c:f>Dashboard!$A$10:$A$13</c:f>
              <c:strCache>
                <c:ptCount val="4"/>
                <c:pt idx="0">
                  <c:v>Americas</c:v>
                </c:pt>
                <c:pt idx="1">
                  <c:v>Europe</c:v>
                </c:pt>
                <c:pt idx="2">
                  <c:v>Asia-Pacific</c:v>
                </c:pt>
                <c:pt idx="3">
                  <c:v>Middle East &amp; Africa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8.6</c:v>
                </c:pt>
                <c:pt idx="1">
                  <c:v>6.9</c:v>
                </c:pt>
                <c:pt idx="2">
                  <c:v>5.4</c:v>
                </c:pt>
                <c:pt idx="3">
                  <c:v>2.7</c:v>
                </c:pt>
              </c:numCache>
            </c:numRef>
          </c:val>
        </c:ser>
        <c:ser>
          <c:idx val="1"/>
          <c:order val="1"/>
          <c:tx>
            <c:v>Plan</c:v>
          </c:tx>
          <c:spPr>
            <a:solidFill xmlns:a="http://schemas.openxmlformats.org/drawingml/2006/main">
              <a:srgbClr val="44546A"/>
            </a:solidFill>
          </c:spPr>
          <c:invertIfNegative val="0"/>
          <c:cat>
            <c:strRef>
              <c:f>Dashboard!$A$10:$A$13</c:f>
              <c:strCache>
                <c:ptCount val="4"/>
                <c:pt idx="0">
                  <c:v>Americas</c:v>
                </c:pt>
                <c:pt idx="1">
                  <c:v>Europe</c:v>
                </c:pt>
                <c:pt idx="2">
                  <c:v>Asia-Pacific</c:v>
                </c:pt>
                <c:pt idx="3">
                  <c:v>Middle East &amp; Africa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5080">
              <a:solidFill>
                <a:srgbClr val="D6DCE4"/>
              </a:solidFill>
            </a:ln>
          </c:spPr>
        </c:majorGridlines>
        <c:numFmt formatCode="$0.0" sourceLinked="0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solidFill xmlns:a="http://schemas.openxmlformats.org/drawingml/2006/main">
          <a:srgbClr val="F7F9FC"/>
        </a:solidFill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charts/chart2.xml><?xml version="1.0" encoding="utf-8"?>
<c:chartSpace xmlns:a="http://schemas.openxmlformats.org/drawingml/2006/main" xmlns:c="http://schemas.openxmlformats.org/drawingml/2006/chart">
  <c:date1904 val="0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0B1930"/>
                </a:solidFill>
              </a:rPr>
              <a:t>Scenario Comparison by Region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Americas</c:v>
          </c:tx>
          <c:spPr>
            <a:solidFill xmlns:a="http://schemas.openxmlformats.org/drawingml/2006/main">
              <a:srgbClr val="2E75B6"/>
            </a:solidFill>
          </c:spPr>
          <c:invertIfNegative val="0"/>
          <c:cat>
            <c:strRef>
              <c:f>Forecast!$A$5:$A$8</c:f>
              <c:strCache>
                <c:ptCount val="4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  <c:pt idx="3">
                  <c:v>Partner-led</c:v>
                </c:pt>
              </c:strCache>
            </c:strRef>
          </c:cat>
          <c:val>
            <c:numRef>
              <c:f>Forecast!$B$5:$B$8</c:f>
              <c:numCache>
                <c:formatCode>General</c:formatCode>
                <c:ptCount val="4"/>
                <c:pt idx="0">
                  <c:v>8.9</c:v>
                </c:pt>
                <c:pt idx="1">
                  <c:v>9.6</c:v>
                </c:pt>
                <c:pt idx="2">
                  <c:v>10.3</c:v>
                </c:pt>
                <c:pt idx="3">
                  <c:v>9.4</c:v>
                </c:pt>
              </c:numCache>
            </c:numRef>
          </c:val>
        </c:ser>
        <c:ser>
          <c:idx val="1"/>
          <c:order val="1"/>
          <c:tx>
            <c:v>Europe</c:v>
          </c:tx>
          <c:spPr>
            <a:solidFill xmlns:a="http://schemas.openxmlformats.org/drawingml/2006/main">
              <a:srgbClr val="44546A"/>
            </a:solidFill>
          </c:spPr>
          <c:invertIfNegative val="0"/>
          <c:cat>
            <c:strRef>
              <c:f>Forecast!$A$5:$A$8</c:f>
              <c:strCache>
                <c:ptCount val="4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  <c:pt idx="3">
                  <c:v>Partner-led</c:v>
                </c:pt>
              </c:strCache>
            </c:strRef>
          </c:cat>
          <c:val>
            <c:numRef>
              <c:f>Forecast!$C$5:$C$8</c:f>
              <c:numCache>
                <c:formatCode>General</c:formatCode>
                <c:ptCount val="4"/>
                <c:pt idx="0">
                  <c:v>7.2</c:v>
                </c:pt>
                <c:pt idx="1">
                  <c:v>7.8</c:v>
                </c:pt>
                <c:pt idx="2">
                  <c:v>8.5</c:v>
                </c:pt>
                <c:pt idx="3">
                  <c:v>8.1</c:v>
                </c:pt>
              </c:numCache>
            </c:numRef>
          </c:val>
        </c:ser>
        <c:ser>
          <c:idx val="2"/>
          <c:order val="2"/>
          <c:tx>
            <c:v>Asia-Pacific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Forecast!$A$5:$A$8</c:f>
              <c:strCache>
                <c:ptCount val="4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  <c:pt idx="3">
                  <c:v>Partner-led</c:v>
                </c:pt>
              </c:strCache>
            </c:strRef>
          </c:cat>
          <c:val>
            <c:numRef>
              <c:f>Forecast!$D$5:$D$8</c:f>
              <c:numCache>
                <c:formatCode>General</c:formatCode>
                <c:ptCount val="4"/>
                <c:pt idx="0">
                  <c:v>5.8</c:v>
                </c:pt>
                <c:pt idx="1">
                  <c:v>6.5</c:v>
                </c:pt>
                <c:pt idx="2">
                  <c:v>7.4</c:v>
                </c:pt>
                <c:pt idx="3">
                  <c:v>7.1</c:v>
                </c:pt>
              </c:numCache>
            </c:numRef>
          </c:val>
        </c:ser>
        <c:ser>
          <c:idx val="3"/>
          <c:order val="3"/>
          <c:tx>
            <c:v>MEA</c:v>
          </c:tx>
          <c:spPr>
            <a:solidFill xmlns:a="http://schemas.openxmlformats.org/drawingml/2006/main">
              <a:srgbClr val="A5A5A5"/>
            </a:solidFill>
          </c:spPr>
          <c:invertIfNegative val="0"/>
          <c:cat>
            <c:strRef>
              <c:f>Forecast!$A$5:$A$8</c:f>
              <c:strCache>
                <c:ptCount val="4"/>
                <c:pt idx="0">
                  <c:v>Conservative</c:v>
                </c:pt>
                <c:pt idx="1">
                  <c:v>Base</c:v>
                </c:pt>
                <c:pt idx="2">
                  <c:v>Upside</c:v>
                </c:pt>
                <c:pt idx="3">
                  <c:v>Partner-led</c:v>
                </c:pt>
              </c:strCache>
            </c:strRef>
          </c:cat>
          <c:val>
            <c:numRef>
              <c:f>Forecast!$E$5:$E$8</c:f>
              <c:numCache>
                <c:formatCode>General</c:formatCode>
                <c:ptCount val="4"/>
                <c:pt idx="0">
                  <c:v>2.9</c:v>
                </c:pt>
                <c:pt idx="1">
                  <c:v>3.3</c:v>
                </c:pt>
                <c:pt idx="2">
                  <c:v>3.8</c:v>
                </c:pt>
                <c:pt idx="3">
                  <c:v>4.2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5080">
              <a:solidFill>
                <a:srgbClr val="D6DCE4"/>
              </a:solidFill>
            </a:ln>
          </c:spPr>
        </c:majorGridlines>
        <c:numFmt formatCode="$0.0" sourceLinked="0"/>
        <c:majorTickMark val="out"/>
        <c:minorTickMark val="none"/>
        <c:tickLblPos val="nextTo"/>
        <c:spPr>
          <a:ln xmlns:a="http://schemas.openxmlformats.org/drawingml/2006/main" w="6350">
            <a:solidFill>
              <a:srgbClr val="8B949E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</a:defRPr>
            </a:pPr>
          </a:p>
        </c:txPr>
        <c:crossAx val="1"/>
        <c:crosses val="autoZero"/>
        <c:crossBetween val="between"/>
      </c:valAx>
      <c:spPr>
        <a:solidFill xmlns:a="http://schemas.openxmlformats.org/drawingml/2006/main">
          <a:srgbClr val="F7F9FC"/>
        </a:solidFill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noFill xmlns:a="http://schemas.openxmlformats.org/drawingml/2006/main"/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7</xdr:col>
      <xdr:colOff>0</xdr:colOff>
      <xdr:row>18</xdr:row>
      <xdr:rowOff>0</xdr:rowOff>
    </xdr:to>
    <xdr:graphicFrame>
      <xdr:nvGraphicFramePr>
        <xdr:cNvPr id="2" name="Actual vs Plan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c764851f5b473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23</xdr:row>
      <xdr:rowOff>0</xdr:rowOff>
    </xdr:to>
    <xdr:graphicFrame>
      <xdr:nvGraphicFramePr>
        <xdr:cNvPr id="2" name="Scenario Comparison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1254c5df5a45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ionalRevenue" displayName="RegionalRevenue" ref="A1:H17" totalsRowShown="0">
  <x:autoFilter ref="A1:H17"/>
  <x:tableColumns count="8">
    <x:tableColumn id="1" name="Quarter"/>
    <x:tableColumn id="2" name="Region"/>
    <x:tableColumn id="3" name="Market"/>
    <x:tableColumn id="4" name="Currency"/>
    <x:tableColumn id="5" name="FX Rate"/>
    <x:tableColumn id="6" name="Revenue USD M"/>
    <x:tableColumn id="7" name="Plan USD M"/>
    <x:tableColumn id="8" name="Re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B1930"/>
      </a:dk1>
      <a:lt1>
        <a:sysClr val="window" lastClr="FFFFFF"/>
      </a:lt1>
      <a:dk2>
        <a:srgbClr val="44546A"/>
      </a:dk2>
      <a:lt2>
        <a:srgbClr val="E7E6E6"/>
      </a:lt2>
      <a:accent1>
        <a:srgbClr val="20C6A6"/>
      </a:accent1>
      <a:accent2>
        <a:srgbClr val="3579F6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f69cf92c6e43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f95a7404c7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faac2ad44b84c4d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20C6A6"/>
    <x:pageSetUpPr fitToPage="1"/>
  </x:sheetPr>
  <x:sheetViews>
    <x:sheetView zoomScale="90" zoomScaleNormal="90" workbookViewId="0">
      <x:pane ySplit="5" topLeftCell="A6" activePane="bottomLeft" state="frozen"/>
    </x:sheetView>
  </x:sheetViews>
  <x:cols>
    <x:col min="1" max="1" width="2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>
      <x:c r="A1" s="2" t="str">
        <x:v>REGIONAL REVENUE DASHBOARD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3" t="str">
        <x:v>FY 2026 H1  •  USD MILLIONS  •  UPDATED 22 JULY 2026</x:v>
      </x:c>
      <x:c r="B3" s="3"/>
      <x:c r="C3" s="3"/>
      <x:c r="D3" s="3"/>
      <x:c r="E3" s="3"/>
      <x:c r="F3" s="3"/>
      <x:c r="G3" s="3"/>
      <x:c r="H3" s="3"/>
    </x:row>
    <x:row r="5">
      <x:c r="A5" s="4" t="str">
        <x:v>Metric</x:v>
      </x:c>
      <x:c r="B5" s="4"/>
      <x:c r="C5" s="4" t="str">
        <x:v>Actual</x:v>
      </x:c>
      <x:c r="D5" s="4"/>
      <x:c r="E5" s="4" t="str">
        <x:v>Plan</x:v>
      </x:c>
      <x:c r="F5" s="4"/>
      <x:c r="G5" s="4" t="str">
        <x:v>Variance</x:v>
      </x:c>
      <x:c r="H5" s="4"/>
    </x:row>
    <x:row r="6">
      <x:c r="A6" s="6" t="str">
        <x:v>Revenue</x:v>
      </x:c>
      <x:c r="B6" s="5"/>
      <x:c r="C6" s="7">
        <x:f>SUM('Regional Data'!$F$2:$F$17)</x:f>
        <x:v>23.6</x:v>
      </x:c>
      <x:c r="D6" s="5"/>
      <x:c r="E6" s="8">
        <x:f>SUM('Regional Data'!$G$2:$G$17)</x:f>
        <x:v>27.2</x:v>
      </x:c>
      <x:c r="F6" s="5"/>
      <x:c r="G6" s="9">
        <x:f>IFERROR(C6/E6-1,0)</x:f>
        <x:v>-0.13235294117647</x:v>
      </x:c>
      <x:c r="H6" s="5"/>
    </x:row>
    <x:row r="8">
      <x:c r="A8" s="10" t="str">
        <x:v>REGIONAL PERFORMANCE</x:v>
      </x:c>
      <x:c r="B8" s="10" t="str">
        <x:v>REGIONAL PERFORMANCE</x:v>
      </x:c>
      <x:c r="C8" s="10" t="str">
        <x:v>REGIONAL PERFORMANCE</x:v>
      </x:c>
      <x:c r="D8" s="10" t="str">
        <x:v>REGIONAL PERFORMANCE</x:v>
      </x:c>
    </x:row>
    <x:row r="9">
      <x:c r="A9" s="12" t="str">
        <x:v>Region</x:v>
      </x:c>
      <x:c r="B9" s="12" t="str">
        <x:v>Actual</x:v>
      </x:c>
      <x:c r="C9" s="12" t="str">
        <x:v>Plan</x:v>
      </x:c>
      <x:c r="D9" s="12" t="str">
        <x:v>Variance</x:v>
      </x:c>
    </x:row>
    <x:row r="10">
      <x:c r="A10" s="11" t="str">
        <x:v>Americas</x:v>
      </x:c>
      <x:c r="B10" s="13">
        <x:f>SUMIF('Regional Data'!$B$2:$B$17,A10,'Regional Data'!$F$2:$F$17)</x:f>
      </x:c>
      <x:c r="C10" s="13">
        <x:f>SUMIF('Regional Data'!$B$2:$B$17,A10,'Regional Data'!$G$2:$G$17)</x:f>
      </x:c>
      <x:c r="D10" s="14">
        <x:f>IFERROR(B10/C10-1,0)</x:f>
        <x:v>0.264705882352941</x:v>
      </x:c>
    </x:row>
    <x:row r="11">
      <x:c r="A11" s="11" t="str">
        <x:v>Europe</x:v>
      </x:c>
      <x:c r="B11" s="13">
        <x:f>SUMIF('Regional Data'!$B$2:$B$17,A11,'Regional Data'!$F$2:$F$17)</x:f>
      </x:c>
      <x:c r="C11" s="13">
        <x:f>SUMIF('Regional Data'!$B$2:$B$17,A11,'Regional Data'!$G$2:$G$17)</x:f>
      </x:c>
      <x:c r="D11" s="14">
        <x:f>IFERROR(B11/C11-1,0)</x:f>
        <x:v>0.014705882352941346</x:v>
      </x:c>
    </x:row>
    <x:row r="12">
      <x:c r="A12" s="11" t="str">
        <x:v>Asia-Pacific</x:v>
      </x:c>
      <x:c r="B12" s="13">
        <x:f>SUMIF('Regional Data'!$B$2:$B$17,A12,'Regional Data'!$F$2:$F$17)</x:f>
      </x:c>
      <x:c r="C12" s="13">
        <x:f>SUMIF('Regional Data'!$B$2:$B$17,A12,'Regional Data'!$G$2:$G$17)</x:f>
      </x:c>
      <x:c r="D12" s="14">
        <x:f>IFERROR(B12/C12-1,0)</x:f>
        <x:v>-0.205882352941176</x:v>
      </x:c>
    </x:row>
    <x:row r="13">
      <x:c r="A13" s="11" t="str">
        <x:v>Middle East &amp; Africa</x:v>
      </x:c>
      <x:c r="B13" s="13">
        <x:f>SUMIF('Regional Data'!$B$2:$B$17,A13,'Regional Data'!$F$2:$F$17)</x:f>
      </x:c>
      <x:c r="C13" s="13">
        <x:f>SUMIF('Regional Data'!$B$2:$B$17,A13,'Regional Data'!$G$2:$G$17)</x:f>
      </x:c>
      <x:c r="D13" s="14">
        <x:f>IFERROR(B13/C13-1,0)</x:f>
        <x:v>-0.602941176470588</x:v>
      </x:c>
    </x:row>
  </x:sheetData>
  <x:mergeCells count="11">
    <x:mergeCell ref="A1:H2"/>
    <x:mergeCell ref="A3:H3"/>
    <x:mergeCell ref="A5:B5"/>
    <x:mergeCell ref="C5:D5"/>
    <x:mergeCell ref="E5:F5"/>
    <x:mergeCell ref="G5:H5"/>
    <x:mergeCell ref="A6:B6"/>
    <x:mergeCell ref="C6:D6"/>
    <x:mergeCell ref="E6:F6"/>
    <x:mergeCell ref="G6:H6"/>
    <x:mergeCell ref="A8:D8"/>
  </x:mergeCells>
  <x:pageSetup fitToWidth="1" fitToHeight="1" orientation="landscape"/>
  <x:headerFooter>
    <x:oddHeader>&amp;LFLYFISH OFFICE PREVIEW&amp;CREGIONAL DASHBOARD&amp;R&amp;D</x:oddHeader>
    <x:oddFooter>&amp;LConfidential&amp;CPage &amp;P of &amp;N&amp;R2026</x:oddFooter>
  </x:headerFooter>
  <x:drawing xmlns:r="http://schemas.openxmlformats.org/officeDocument/2006/relationships" r:id="Rf0f69cf92c6e43b7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3579F6"/>
    <x:pageSetUpPr fitToPage="1"/>
  </x:sheetPr>
  <x:sheetViews>
    <x:sheetView zoomScale="90" zoomScaleNormal="90" workbookViewId="0">
      <x:pane ySplit="1" topLeftCell="A2" activePane="bottomLeft" state="frozen"/>
    </x:sheetView>
  </x:sheetViews>
  <x:cols>
    <x:col min="1" max="1" width="12" customWidth="1"/>
    <x:col min="2" max="2" width="24" customWidth="1"/>
    <x:col min="3" max="3" width="25" customWidth="1"/>
    <x:col min="4" max="4" width="12" customWidth="1"/>
    <x:col min="5" max="5" width="12" customWidth="1"/>
    <x:col min="6" max="6" width="18" customWidth="1"/>
    <x:col min="7" max="7" width="16" customWidth="1"/>
    <x:col min="8" max="8" width="14" customWidth="1"/>
  </x:cols>
  <x:sheetData>
    <x:row r="1">
      <x:c r="A1" s="16" t="str">
        <x:v>Quarter</x:v>
      </x:c>
      <x:c r="B1" s="16" t="str">
        <x:v>Region</x:v>
      </x:c>
      <x:c r="C1" s="16" t="str">
        <x:v>Market</x:v>
      </x:c>
      <x:c r="D1" s="16" t="str">
        <x:v>Currency</x:v>
      </x:c>
      <x:c r="E1" s="16" t="str">
        <x:v>FX Rate</x:v>
      </x:c>
      <x:c r="F1" s="16" t="str">
        <x:v>Revenue USD M</x:v>
      </x:c>
      <x:c r="G1" s="16" t="str">
        <x:v>Plan USD M</x:v>
      </x:c>
      <x:c r="H1" s="16" t="str">
        <x:v>Retention</x:v>
      </x:c>
    </x:row>
    <x:row r="2">
      <x:c r="A2" s="17" t="str">
        <x:v>Q1</x:v>
      </x:c>
      <x:c r="B2" s="17" t="str">
        <x:v>Americas</x:v>
      </x:c>
      <x:c r="C2" s="17" t="str">
        <x:v>United States</x:v>
      </x:c>
      <x:c r="D2" s="17" t="str">
        <x:v>USD</x:v>
      </x:c>
      <x:c r="E2" s="18">
        <x:v>1</x:v>
      </x:c>
      <x:c r="F2" s="20">
        <x:v>2.05</x:v>
      </x:c>
      <x:c r="G2" s="20">
        <x:v>1.7</x:v>
      </x:c>
      <x:c r="H2" s="21">
        <x:v>0.95</x:v>
      </x:c>
    </x:row>
    <x:row r="3">
      <x:c r="A3" s="17" t="str">
        <x:v>Q1</x:v>
      </x:c>
      <x:c r="B3" s="17" t="str">
        <x:v>Europe</x:v>
      </x:c>
      <x:c r="C3" s="17" t="str">
        <x:v>Germany</x:v>
      </x:c>
      <x:c r="D3" s="17" t="str">
        <x:v>EUR</x:v>
      </x:c>
      <x:c r="E3" s="18">
        <x:v>1.09</x:v>
      </x:c>
      <x:c r="F3" s="20">
        <x:v>1.62</x:v>
      </x:c>
      <x:c r="G3" s="20">
        <x:v>1.7</x:v>
      </x:c>
      <x:c r="H3" s="21">
        <x:v>0.95</x:v>
      </x:c>
    </x:row>
    <x:row r="4">
      <x:c r="A4" s="17" t="str">
        <x:v>Q1</x:v>
      </x:c>
      <x:c r="B4" s="17" t="str">
        <x:v>Asia-Pacific</x:v>
      </x:c>
      <x:c r="C4" s="17" t="str">
        <x:v>Japan</x:v>
      </x:c>
      <x:c r="D4" s="17" t="str">
        <x:v>JPY</x:v>
      </x:c>
      <x:c r="E4" s="19">
        <x:v>0.0068</x:v>
      </x:c>
      <x:c r="F4" s="20">
        <x:v>1.19</x:v>
      </x:c>
      <x:c r="G4" s="20">
        <x:v>1.7</x:v>
      </x:c>
      <x:c r="H4" s="21">
        <x:v>0.95</x:v>
      </x:c>
    </x:row>
    <x:row r="5">
      <x:c r="A5" s="17" t="str">
        <x:v>Q1</x:v>
      </x:c>
      <x:c r="B5" s="17" t="str">
        <x:v>Middle East &amp; Africa</x:v>
      </x:c>
      <x:c r="C5" s="17" t="str">
        <x:v>United Arab Emirates</x:v>
      </x:c>
      <x:c r="D5" s="17" t="str">
        <x:v>AED</x:v>
      </x:c>
      <x:c r="E5" s="18">
        <x:v>0.272</x:v>
      </x:c>
      <x:c r="F5" s="20">
        <x:v>0.58</x:v>
      </x:c>
      <x:c r="G5" s="20">
        <x:v>1.7</x:v>
      </x:c>
      <x:c r="H5" s="21">
        <x:v>0.95</x:v>
      </x:c>
    </x:row>
    <x:row r="6">
      <x:c r="A6" s="17" t="str">
        <x:v>Q2</x:v>
      </x:c>
      <x:c r="B6" s="17" t="str">
        <x:v>Americas</x:v>
      </x:c>
      <x:c r="C6" s="17" t="str">
        <x:v>United States</x:v>
      </x:c>
      <x:c r="D6" s="17" t="str">
        <x:v>USD</x:v>
      </x:c>
      <x:c r="E6" s="18">
        <x:v>1</x:v>
      </x:c>
      <x:c r="F6" s="20">
        <x:v>2.18</x:v>
      </x:c>
      <x:c r="G6" s="20">
        <x:v>1.7</x:v>
      </x:c>
      <x:c r="H6" s="21">
        <x:v>0.95</x:v>
      </x:c>
    </x:row>
    <x:row r="7">
      <x:c r="A7" s="17" t="str">
        <x:v>Q2</x:v>
      </x:c>
      <x:c r="B7" s="17" t="str">
        <x:v>Europe</x:v>
      </x:c>
      <x:c r="C7" s="17" t="str">
        <x:v>Germany</x:v>
      </x:c>
      <x:c r="D7" s="17" t="str">
        <x:v>EUR</x:v>
      </x:c>
      <x:c r="E7" s="18">
        <x:v>1.09</x:v>
      </x:c>
      <x:c r="F7" s="20">
        <x:v>1.73</x:v>
      </x:c>
      <x:c r="G7" s="20">
        <x:v>1.7</x:v>
      </x:c>
      <x:c r="H7" s="21">
        <x:v>0.95</x:v>
      </x:c>
    </x:row>
    <x:row r="8">
      <x:c r="A8" s="17" t="str">
        <x:v>Q2</x:v>
      </x:c>
      <x:c r="B8" s="17" t="str">
        <x:v>Asia-Pacific</x:v>
      </x:c>
      <x:c r="C8" s="17" t="str">
        <x:v>Japan</x:v>
      </x:c>
      <x:c r="D8" s="17" t="str">
        <x:v>JPY</x:v>
      </x:c>
      <x:c r="E8" s="19">
        <x:v>0.0068</x:v>
      </x:c>
      <x:c r="F8" s="20">
        <x:v>1.31</x:v>
      </x:c>
      <x:c r="G8" s="20">
        <x:v>1.7</x:v>
      </x:c>
      <x:c r="H8" s="21">
        <x:v>0.95</x:v>
      </x:c>
    </x:row>
    <x:row r="9">
      <x:c r="A9" s="17" t="str">
        <x:v>Q2</x:v>
      </x:c>
      <x:c r="B9" s="17" t="str">
        <x:v>Middle East &amp; Africa</x:v>
      </x:c>
      <x:c r="C9" s="17" t="str">
        <x:v>United Arab Emirates</x:v>
      </x:c>
      <x:c r="D9" s="17" t="str">
        <x:v>AED</x:v>
      </x:c>
      <x:c r="E9" s="18">
        <x:v>0.272</x:v>
      </x:c>
      <x:c r="F9" s="20">
        <x:v>0.66</x:v>
      </x:c>
      <x:c r="G9" s="20">
        <x:v>1.7</x:v>
      </x:c>
      <x:c r="H9" s="21">
        <x:v>0.95</x:v>
      </x:c>
    </x:row>
    <x:row r="10">
      <x:c r="A10" s="17" t="str">
        <x:v>Q3</x:v>
      </x:c>
      <x:c r="B10" s="17" t="str">
        <x:v>Americas</x:v>
      </x:c>
      <x:c r="C10" s="17" t="str">
        <x:v>United States</x:v>
      </x:c>
      <x:c r="D10" s="17" t="str">
        <x:v>USD</x:v>
      </x:c>
      <x:c r="E10" s="18">
        <x:v>1</x:v>
      </x:c>
      <x:c r="F10" s="20">
        <x:v>2.26</x:v>
      </x:c>
      <x:c r="G10" s="20">
        <x:v>1.7</x:v>
      </x:c>
      <x:c r="H10" s="21">
        <x:v>0.95</x:v>
      </x:c>
    </x:row>
    <x:row r="11">
      <x:c r="A11" s="17" t="str">
        <x:v>Q3</x:v>
      </x:c>
      <x:c r="B11" s="17" t="str">
        <x:v>Europe</x:v>
      </x:c>
      <x:c r="C11" s="17" t="str">
        <x:v>Germany</x:v>
      </x:c>
      <x:c r="D11" s="17" t="str">
        <x:v>EUR</x:v>
      </x:c>
      <x:c r="E11" s="18">
        <x:v>1.09</x:v>
      </x:c>
      <x:c r="F11" s="20">
        <x:v>1.82</x:v>
      </x:c>
      <x:c r="G11" s="20">
        <x:v>1.7</x:v>
      </x:c>
      <x:c r="H11" s="21">
        <x:v>0.95</x:v>
      </x:c>
    </x:row>
    <x:row r="12">
      <x:c r="A12" s="17" t="str">
        <x:v>Q3</x:v>
      </x:c>
      <x:c r="B12" s="17" t="str">
        <x:v>Asia-Pacific</x:v>
      </x:c>
      <x:c r="C12" s="17" t="str">
        <x:v>Japan</x:v>
      </x:c>
      <x:c r="D12" s="17" t="str">
        <x:v>JPY</x:v>
      </x:c>
      <x:c r="E12" s="19">
        <x:v>0.0068</x:v>
      </x:c>
      <x:c r="F12" s="20">
        <x:v>1.42</x:v>
      </x:c>
      <x:c r="G12" s="20">
        <x:v>1.7</x:v>
      </x:c>
      <x:c r="H12" s="21">
        <x:v>0.95</x:v>
      </x:c>
    </x:row>
    <x:row r="13">
      <x:c r="A13" s="17" t="str">
        <x:v>Q3</x:v>
      </x:c>
      <x:c r="B13" s="17" t="str">
        <x:v>Middle East &amp; Africa</x:v>
      </x:c>
      <x:c r="C13" s="17" t="str">
        <x:v>United Arab Emirates</x:v>
      </x:c>
      <x:c r="D13" s="17" t="str">
        <x:v>AED</x:v>
      </x:c>
      <x:c r="E13" s="18">
        <x:v>0.272</x:v>
      </x:c>
      <x:c r="F13" s="20">
        <x:v>0.71</x:v>
      </x:c>
      <x:c r="G13" s="20">
        <x:v>1.7</x:v>
      </x:c>
      <x:c r="H13" s="21">
        <x:v>0.95</x:v>
      </x:c>
    </x:row>
    <x:row r="14">
      <x:c r="A14" s="17" t="str">
        <x:v>Q4</x:v>
      </x:c>
      <x:c r="B14" s="17" t="str">
        <x:v>Americas</x:v>
      </x:c>
      <x:c r="C14" s="17" t="str">
        <x:v>United States</x:v>
      </x:c>
      <x:c r="D14" s="17" t="str">
        <x:v>USD</x:v>
      </x:c>
      <x:c r="E14" s="18">
        <x:v>1</x:v>
      </x:c>
      <x:c r="F14" s="20">
        <x:v>2.11</x:v>
      </x:c>
      <x:c r="G14" s="20">
        <x:v>1.7</x:v>
      </x:c>
      <x:c r="H14" s="21">
        <x:v>0.95</x:v>
      </x:c>
    </x:row>
    <x:row r="15">
      <x:c r="A15" s="17" t="str">
        <x:v>Q4</x:v>
      </x:c>
      <x:c r="B15" s="17" t="str">
        <x:v>Europe</x:v>
      </x:c>
      <x:c r="C15" s="17" t="str">
        <x:v>Germany</x:v>
      </x:c>
      <x:c r="D15" s="17" t="str">
        <x:v>EUR</x:v>
      </x:c>
      <x:c r="E15" s="18">
        <x:v>1.09</x:v>
      </x:c>
      <x:c r="F15" s="20">
        <x:v>1.73</x:v>
      </x:c>
      <x:c r="G15" s="20">
        <x:v>1.7</x:v>
      </x:c>
      <x:c r="H15" s="21">
        <x:v>0.95</x:v>
      </x:c>
    </x:row>
    <x:row r="16">
      <x:c r="A16" s="17" t="str">
        <x:v>Q4</x:v>
      </x:c>
      <x:c r="B16" s="17" t="str">
        <x:v>Asia-Pacific</x:v>
      </x:c>
      <x:c r="C16" s="17" t="str">
        <x:v>Japan</x:v>
      </x:c>
      <x:c r="D16" s="17" t="str">
        <x:v>JPY</x:v>
      </x:c>
      <x:c r="E16" s="19">
        <x:v>0.0068</x:v>
      </x:c>
      <x:c r="F16" s="20">
        <x:v>1.48</x:v>
      </x:c>
      <x:c r="G16" s="20">
        <x:v>1.7</x:v>
      </x:c>
      <x:c r="H16" s="21">
        <x:v>0.95</x:v>
      </x:c>
    </x:row>
    <x:row r="17">
      <x:c r="A17" s="17" t="str">
        <x:v>Q4</x:v>
      </x:c>
      <x:c r="B17" s="17" t="str">
        <x:v>Middle East &amp; Africa</x:v>
      </x:c>
      <x:c r="C17" s="17" t="str">
        <x:v>United Arab Emirates</x:v>
      </x:c>
      <x:c r="D17" s="17" t="str">
        <x:v>AED</x:v>
      </x:c>
      <x:c r="E17" s="18">
        <x:v>0.272</x:v>
      </x:c>
      <x:c r="F17" s="20">
        <x:v>0.75</x:v>
      </x:c>
      <x:c r="G17" s="20">
        <x:v>1.7</x:v>
      </x:c>
      <x:c r="H17" s="21">
        <x:v>0.95</x:v>
      </x:c>
    </x:row>
  </x:sheetData>
  <x:pageSetup fitToWidth="1" fitToHeight="0" orientation="landscape"/>
  <x:tableParts count="1">
    <x:tablePart xmlns:r="http://schemas.openxmlformats.org/officeDocument/2006/relationships" r:id="Rcaf95a7404c74d91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tabColor rgb="FF7C5CE5"/>
    <x:pageSetUpPr fitToPage="1"/>
  </x:sheetPr>
  <x:sheetViews>
    <x:sheetView zoomScale="95" zoomScaleNormal="95" workbookViewId="0">
      <x:pane ySplit="4" topLeftCell="A5" activePane="bottomLeft" state="frozen"/>
    </x:sheetView>
  </x:sheetViews>
  <x:cols>
    <x:col min="1" max="1" width="20" customWidth="1"/>
    <x:col min="2" max="2" width="14" customWidth="1"/>
    <x:col min="3" max="3" width="14" customWidth="1"/>
    <x:col min="4" max="4" width="17" customWidth="1"/>
    <x:col min="5" max="5" width="14" customWidth="1"/>
    <x:col min="6" max="6" width="14" customWidth="1"/>
    <x:col min="7" max="7" width="14" customWidth="1"/>
    <x:col min="8" max="8" width="15" customWidth="1"/>
  </x:cols>
  <x:sheetData>
    <x:row r="1">
      <x:c r="A1" s="22" t="str">
        <x:v>FY 2027 FORECAST SCENARIOS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4">
      <x:c r="A4" s="23" t="str">
        <x:v>Scenario</x:v>
      </x:c>
      <x:c r="B4" s="23" t="str">
        <x:v>Americas</x:v>
      </x:c>
      <x:c r="C4" s="23" t="str">
        <x:v>Europe</x:v>
      </x:c>
      <x:c r="D4" s="23" t="str">
        <x:v>Asia-Pacific</x:v>
      </x:c>
      <x:c r="E4" s="23" t="str">
        <x:v>MEA</x:v>
      </x:c>
      <x:c r="F4" s="23" t="str">
        <x:v>Total</x:v>
      </x:c>
      <x:c r="G4" s="23" t="str">
        <x:v>Growth</x:v>
      </x:c>
      <x:c r="H4" s="23" t="str">
        <x:v>Confidence</x:v>
      </x:c>
    </x:row>
    <x:row r="5">
      <x:c r="A5" s="15" t="str">
        <x:v>Conservative</x:v>
      </x:c>
      <x:c r="B5" s="24">
        <x:v>8.9</x:v>
      </x:c>
      <x:c r="C5" s="24">
        <x:v>7.2</x:v>
      </x:c>
      <x:c r="D5" s="24">
        <x:v>5.8</x:v>
      </x:c>
      <x:c r="E5" s="24">
        <x:v>2.9</x:v>
      </x:c>
      <x:c r="F5" s="25">
        <x:f>SUM(B5:E5)</x:f>
        <x:v>24.8</x:v>
      </x:c>
      <x:c r="G5" s="26">
        <x:f>IFERROR(F5/SUM('Regional Data'!$F$2:$F$17)-1,0)</x:f>
        <x:v>0.05084745762711851</x:v>
      </x:c>
      <x:c r="H5" s="15" t="str">
        <x:v>High</x:v>
      </x:c>
    </x:row>
    <x:row r="6">
      <x:c r="A6" s="15" t="str">
        <x:v>Base</x:v>
      </x:c>
      <x:c r="B6" s="24">
        <x:v>9.6</x:v>
      </x:c>
      <x:c r="C6" s="24">
        <x:v>7.8</x:v>
      </x:c>
      <x:c r="D6" s="24">
        <x:v>6.5</x:v>
      </x:c>
      <x:c r="E6" s="24">
        <x:v>3.3</x:v>
      </x:c>
      <x:c r="F6" s="25">
        <x:f>SUM(B6:E6)</x:f>
        <x:v>27.2</x:v>
      </x:c>
      <x:c r="G6" s="26">
        <x:f>IFERROR(F6/SUM('Regional Data'!$F$2:$F$17)-1,0)</x:f>
        <x:v>0.152542372881356</x:v>
      </x:c>
      <x:c r="H6" s="15" t="str">
        <x:v>High</x:v>
      </x:c>
    </x:row>
    <x:row r="7">
      <x:c r="A7" s="15" t="str">
        <x:v>Upside</x:v>
      </x:c>
      <x:c r="B7" s="24">
        <x:v>10.3</x:v>
      </x:c>
      <x:c r="C7" s="24">
        <x:v>8.5</x:v>
      </x:c>
      <x:c r="D7" s="24">
        <x:v>7.4</x:v>
      </x:c>
      <x:c r="E7" s="24">
        <x:v>3.8</x:v>
      </x:c>
      <x:c r="F7" s="25">
        <x:f>SUM(B7:E7)</x:f>
        <x:v>30</x:v>
      </x:c>
      <x:c r="G7" s="26">
        <x:f>IFERROR(F7/SUM('Regional Data'!$F$2:$F$17)-1,0)</x:f>
        <x:v>0.271186440677966</x:v>
      </x:c>
      <x:c r="H7" s="15" t="str">
        <x:v>Medium</x:v>
      </x:c>
    </x:row>
    <x:row r="8">
      <x:c r="A8" s="15" t="str">
        <x:v>Partner-led</x:v>
      </x:c>
      <x:c r="B8" s="24">
        <x:v>9.4</x:v>
      </x:c>
      <x:c r="C8" s="24">
        <x:v>8.1</x:v>
      </x:c>
      <x:c r="D8" s="24">
        <x:v>7.1</x:v>
      </x:c>
      <x:c r="E8" s="24">
        <x:v>4.2</x:v>
      </x:c>
      <x:c r="F8" s="25">
        <x:f>SUM(B8:E8)</x:f>
        <x:v>28.8</x:v>
      </x:c>
      <x:c r="G8" s="26">
        <x:f>IFERROR(F8/SUM('Regional Data'!$F$2:$F$17)-1,0)</x:f>
        <x:v>0.220338983050847</x:v>
      </x:c>
      <x:c r="H8" s="15" t="str">
        <x:v>Medium</x:v>
      </x:c>
    </x:row>
  </x:sheetData>
  <x:mergeCells count="1">
    <x:mergeCell ref="A1:H2"/>
  </x:mergeCells>
  <x:pageSetup fitToWidth="1" fitToHeight="1" orientation="landscape"/>
  <x:drawing xmlns:r="http://schemas.openxmlformats.org/officeDocument/2006/relationships" r:id="R8faac2ad44b84c4d"/>
</x:worksheet>
</file>

<file path=docProps/app.xml><?xml version="1.0" encoding="utf-8"?>
<ap:Properties xmlns:ap="http://schemas.openxmlformats.org/officeDocument/2006/extended-properties">
  <ap:Application>OfficeCLI/1.0.139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Flyfish Office Preview</dc:creator>
  <dcterms:created xsi:type="dcterms:W3CDTF">2026-07-22T10:08:13.0000000Z</dcterms:created>
  <lastModifiedBy>OfficeCLI</lastModifiedBy>
  <dcterms:modified xsi:type="dcterms:W3CDTF">2026-07-22T10:08:13.0000000Z</dcterms:modified>
  <dc:title>Regional Revenue Dashboard 2026</dc:title>
  <dc:subject>International revenue planning</dc:subject>
  <keywords>revenue,dashboard,regions,forecast</keywords>
  <dc:description>A professional multi-sheet financial dashboard sample.</dc:description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1.0.139</vt:lpwstr>
  </op:property>
  <op:property fmtid="{D5CDD505-2E9C-101B-9397-08002B2CF9AE}" pid="3" name="OfficeCLI.LastModified">
    <vt:lpwstr xmlns:vt="http://schemas.openxmlformats.org/officeDocument/2006/docPropsVTypes">2026-07-22T10:16:59Z</vt:lpwstr>
  </op:property>
</op:Properties>
</file>